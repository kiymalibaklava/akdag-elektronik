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5060" yWindow="30" windowWidth="13140" windowHeight="9915"/>
  </bookViews>
  <sheets>
    <sheet name="Sayfa1" sheetId="1" r:id="rId1"/>
    <sheet name="Sayfa2" sheetId="2" r:id="rId2"/>
    <sheet name="Sayfa3" sheetId="3" r:id="rId3"/>
  </sheets>
  <calcPr calcId="124519"/>
</workbook>
</file>

<file path=xl/calcChain.xml><?xml version="1.0" encoding="utf-8"?>
<calcChain xmlns="http://schemas.openxmlformats.org/spreadsheetml/2006/main">
  <c r="H22" i="1"/>
  <c r="I22" s="1"/>
  <c r="H9"/>
  <c r="I9" s="1"/>
  <c r="I24" s="1"/>
  <c r="I25" l="1"/>
  <c r="I26" s="1"/>
</calcChain>
</file>

<file path=xl/sharedStrings.xml><?xml version="1.0" encoding="utf-8"?>
<sst xmlns="http://schemas.openxmlformats.org/spreadsheetml/2006/main" count="49" uniqueCount="48">
  <si>
    <t>FİYAT TEKLİFİ</t>
  </si>
  <si>
    <t>Sayın :</t>
  </si>
  <si>
    <t>AÇIKLAMALAR</t>
  </si>
  <si>
    <t>Teklif Tarihi/ Quo. Date :</t>
  </si>
  <si>
    <t>Cumhuriyet Mh. Sur Cd. No : 17/A Melikgazi / KAYSERİ</t>
  </si>
  <si>
    <t>TEL : (352) 231 69 15 - (532) 393 43 70</t>
  </si>
  <si>
    <t>Adet</t>
  </si>
  <si>
    <t>Miktar</t>
  </si>
  <si>
    <t xml:space="preserve">Ürün Kodu </t>
  </si>
  <si>
    <t>Marka</t>
  </si>
  <si>
    <t>Ürün açıklama</t>
  </si>
  <si>
    <t>Görsel</t>
  </si>
  <si>
    <t xml:space="preserve">1. </t>
  </si>
  <si>
    <t>2.</t>
  </si>
  <si>
    <t xml:space="preserve">3. </t>
  </si>
  <si>
    <t xml:space="preserve">5. </t>
  </si>
  <si>
    <t xml:space="preserve">6. </t>
  </si>
  <si>
    <t xml:space="preserve">7. </t>
  </si>
  <si>
    <t xml:space="preserve">8. </t>
  </si>
  <si>
    <t xml:space="preserve">10. </t>
  </si>
  <si>
    <t xml:space="preserve">11. </t>
  </si>
  <si>
    <t xml:space="preserve">12. </t>
  </si>
  <si>
    <t xml:space="preserve">13. </t>
  </si>
  <si>
    <t>Teklifimiz USD  ve EURO bazında hazırlanmış olup teslimat tarihi için geçerli T.C. Merkez Bankası'nın Efektif Satış kuru baz alınır.</t>
  </si>
  <si>
    <t>Fiyatlarımız 10 gün opsiyonludur</t>
  </si>
  <si>
    <t>Şartname görülmeden fiyat verilmiştir. Şartname kaynaklı eksik ve ilave malzemeler için ayrıca fiyat verilecektir</t>
  </si>
  <si>
    <t>Ürünlerimizi internet sitesinden görsellerine bakarak özellik model ve teknik şartlarınıza uygun oldugunu görerek sipariş vermeniz gerekmektedir.</t>
  </si>
  <si>
    <t>Ödeme : Siparişte % 50'si kalanı malzeme veya iş tesliminde Nakit olarak ödenecektir.</t>
  </si>
  <si>
    <t>Sipariş verebilmeniz için Firma kaşeniz , yetkilinizin ismi ve imzası KAŞE&amp;İMZA yapılarak mail gönderilmelidir</t>
  </si>
  <si>
    <t>Ürünler hazır olduğunda Kayseri içi telimidir. Başka şehire teslimlerde kargo edilecektir. Kargo karşı ödemeli gönderilecektir.</t>
  </si>
  <si>
    <t>Siparişleriniz onay ile birlikte tedarik programına alınacaktır.Tahmini tedarik süresi …... iş günüdür</t>
  </si>
  <si>
    <t>Teklifin kabul olduğu anda ürünlerden bir veya birkaçının ithalatçı firmanın stoklarında olmaması durumunda yurtdışı tedarik siüreci ve gümrükleme vs. geçikme ile tahmini tedarik süresi 6-8 haftadır</t>
  </si>
  <si>
    <t>Tarafınızdan iletilen listeye göre teklif verilmiştir. Farkları bulmak ve kontrol etmek tarafınıza aittir sorumluluk kabul edilmemektedir.</t>
  </si>
  <si>
    <t>Fiyat Döviz</t>
  </si>
  <si>
    <t>Fiyat TL</t>
  </si>
  <si>
    <t>Tutar TL</t>
  </si>
  <si>
    <t xml:space="preserve">TOPLAM (TL) : </t>
  </si>
  <si>
    <t xml:space="preserve">%20 KDV (TL) : </t>
  </si>
  <si>
    <t>Hesaplanan Kur Değerleri;</t>
  </si>
  <si>
    <t>EURO :</t>
  </si>
  <si>
    <t xml:space="preserve"> USD  :</t>
  </si>
  <si>
    <t>4.</t>
  </si>
  <si>
    <t>Kablo , Kablo Kanalı ve kullanılacak konnektör fiyatları kurulum esnasında eklendiğinde ayrıca fiyata eklenecektir.</t>
  </si>
  <si>
    <r>
      <rPr>
        <b/>
        <sz val="8"/>
        <rFont val="Times New Roman"/>
        <family val="1"/>
        <charset val="162"/>
      </rPr>
      <t>ÖNEMLİ NOT :</t>
    </r>
    <r>
      <rPr>
        <sz val="8"/>
        <rFont val="Times New Roman"/>
        <family val="1"/>
        <charset val="162"/>
      </rPr>
      <t xml:space="preserve"> PROJEDE OLUP DA FİYATLANDIRILMAYAN YADA GÖZDEN KAÇAN MALZEMELER AYRICA FİYATLANDIRILACAKTIR. KONTROL ETMEK VE EKSİKLERİ BULMAK TARAFINIZA AİTTİR.</t>
    </r>
  </si>
  <si>
    <t>ÜRGÜP BELEDİYESİ</t>
  </si>
  <si>
    <t>Kablosuz Konferans Sitemi Merkez Ünitesi</t>
  </si>
  <si>
    <t>PRO9900W</t>
  </si>
  <si>
    <t>GOLD AUDIO</t>
  </si>
</sst>
</file>

<file path=xl/styles.xml><?xml version="1.0" encoding="utf-8"?>
<styleSheet xmlns="http://schemas.openxmlformats.org/spreadsheetml/2006/main">
  <numFmts count="7">
    <numFmt numFmtId="164" formatCode="[$-41F]General"/>
    <numFmt numFmtId="165" formatCode="[$-41F]dd&quot;.&quot;mm&quot;.&quot;yyyy"/>
    <numFmt numFmtId="166" formatCode="#,##0.00[$YTL-41F];[Red]&quot;-&quot;#,##0.00[$YTL-41F]"/>
    <numFmt numFmtId="167" formatCode="#,##0.00\ [$TRL];[Red]#,##0.00\ [$TRL]"/>
    <numFmt numFmtId="168" formatCode="#,##0.00\ [$$-C0C];[Red]#,##0.00\ [$$-C0C]"/>
    <numFmt numFmtId="169" formatCode="#,##0.00&quot;₺&quot;;[Red]\-#,##0.00&quot;₺&quot;"/>
    <numFmt numFmtId="170" formatCode="#,##0.00;[Red]#,##0.00"/>
  </numFmts>
  <fonts count="23">
    <font>
      <sz val="11"/>
      <color rgb="FF000000"/>
      <name val="Arial"/>
      <family val="2"/>
      <charset val="162"/>
    </font>
    <font>
      <sz val="11"/>
      <color rgb="FF000000"/>
      <name val="Arial"/>
      <family val="2"/>
      <charset val="162"/>
    </font>
    <font>
      <sz val="11"/>
      <color rgb="FF000000"/>
      <name val="Calibri"/>
      <family val="2"/>
      <charset val="162"/>
    </font>
    <font>
      <b/>
      <i/>
      <sz val="16"/>
      <color rgb="FF000000"/>
      <name val="Arial"/>
      <family val="2"/>
      <charset val="162"/>
    </font>
    <font>
      <b/>
      <i/>
      <u/>
      <sz val="11"/>
      <color rgb="FF000000"/>
      <name val="Arial"/>
      <family val="2"/>
      <charset val="162"/>
    </font>
    <font>
      <b/>
      <sz val="14"/>
      <color rgb="FF000000"/>
      <name val="Arial-BoldMT"/>
      <charset val="162"/>
    </font>
    <font>
      <sz val="11"/>
      <color rgb="FF000000"/>
      <name val="Arial1"/>
      <charset val="162"/>
    </font>
    <font>
      <sz val="8"/>
      <color rgb="FF000000"/>
      <name val="Arial1"/>
      <charset val="162"/>
    </font>
    <font>
      <b/>
      <sz val="8"/>
      <color rgb="FF000000"/>
      <name val="Arial1"/>
      <charset val="162"/>
    </font>
    <font>
      <sz val="8"/>
      <color rgb="FF000000"/>
      <name val="Tahoma1"/>
      <charset val="162"/>
    </font>
    <font>
      <sz val="8"/>
      <color rgb="FF000000"/>
      <name val="Tahoma"/>
      <family val="2"/>
      <charset val="162"/>
    </font>
    <font>
      <b/>
      <sz val="11"/>
      <color rgb="FF000000"/>
      <name val="Arial1"/>
      <charset val="162"/>
    </font>
    <font>
      <b/>
      <sz val="9"/>
      <color rgb="FF000000"/>
      <name val="Arial1"/>
      <charset val="162"/>
    </font>
    <font>
      <sz val="9"/>
      <color rgb="FF000000"/>
      <name val="Arial1"/>
      <charset val="162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12"/>
      <name val="Times New Roman"/>
      <family val="1"/>
      <charset val="162"/>
    </font>
    <font>
      <sz val="8"/>
      <color rgb="FF000000"/>
      <name val="Times New Roman"/>
      <family val="1"/>
      <charset val="162"/>
    </font>
    <font>
      <b/>
      <sz val="10"/>
      <name val="Arial1"/>
      <charset val="162"/>
    </font>
    <font>
      <b/>
      <sz val="8"/>
      <name val="Arial1"/>
      <charset val="162"/>
    </font>
    <font>
      <sz val="8"/>
      <color rgb="FF000000"/>
      <name val="Arial"/>
      <family val="2"/>
      <charset val="162"/>
    </font>
    <font>
      <b/>
      <sz val="8"/>
      <name val="Times New Roman"/>
      <family val="1"/>
      <charset val="162"/>
    </font>
    <font>
      <sz val="8"/>
      <name val="Times New Roman"/>
      <family val="1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164" fontId="2" fillId="0" borderId="0" applyBorder="0" applyProtection="0"/>
    <xf numFmtId="0" fontId="1" fillId="0" borderId="0" applyNumberFormat="0" applyFont="0" applyFill="0" applyBorder="0" applyAlignment="0" applyProtection="0"/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166" fontId="4" fillId="0" borderId="0" applyBorder="0" applyProtection="0"/>
    <xf numFmtId="0" fontId="14" fillId="0" borderId="0"/>
    <xf numFmtId="0" fontId="16" fillId="0" borderId="0"/>
  </cellStyleXfs>
  <cellXfs count="55">
    <xf numFmtId="0" fontId="0" fillId="0" borderId="0" xfId="0"/>
    <xf numFmtId="164" fontId="2" fillId="0" borderId="0" xfId="1" applyFont="1" applyFill="1" applyAlignment="1"/>
    <xf numFmtId="165" fontId="8" fillId="0" borderId="0" xfId="1" applyNumberFormat="1" applyFont="1" applyFill="1" applyAlignment="1">
      <alignment horizontal="left" vertical="center"/>
    </xf>
    <xf numFmtId="164" fontId="2" fillId="0" borderId="0" xfId="1" applyFont="1" applyFill="1" applyAlignment="1">
      <alignment horizontal="left" vertical="center" wrapText="1"/>
    </xf>
    <xf numFmtId="164" fontId="12" fillId="0" borderId="0" xfId="1" applyFont="1" applyFill="1" applyAlignment="1">
      <alignment horizontal="right" vertical="center"/>
    </xf>
    <xf numFmtId="164" fontId="13" fillId="0" borderId="0" xfId="1" applyFont="1" applyFill="1" applyAlignment="1">
      <alignment vertical="center"/>
    </xf>
    <xf numFmtId="169" fontId="2" fillId="0" borderId="0" xfId="1" applyNumberFormat="1" applyFont="1" applyFill="1" applyAlignment="1"/>
    <xf numFmtId="164" fontId="9" fillId="0" borderId="0" xfId="1" applyFont="1" applyFill="1" applyAlignment="1">
      <alignment horizontal="right" vertical="center" wrapText="1"/>
    </xf>
    <xf numFmtId="164" fontId="11" fillId="0" borderId="0" xfId="1" applyFont="1" applyFill="1" applyBorder="1" applyAlignment="1">
      <alignment horizontal="right" vertical="center" wrapText="1"/>
    </xf>
    <xf numFmtId="164" fontId="6" fillId="0" borderId="0" xfId="1" applyFont="1" applyFill="1" applyBorder="1" applyAlignment="1">
      <alignment horizontal="left" vertical="center" wrapText="1"/>
    </xf>
    <xf numFmtId="164" fontId="12" fillId="0" borderId="0" xfId="1" applyFont="1" applyFill="1" applyBorder="1" applyAlignment="1">
      <alignment horizontal="right" vertical="center" wrapText="1"/>
    </xf>
    <xf numFmtId="168" fontId="8" fillId="0" borderId="0" xfId="1" applyNumberFormat="1" applyFont="1" applyFill="1" applyBorder="1" applyAlignment="1">
      <alignment horizontal="right" vertical="center"/>
    </xf>
    <xf numFmtId="169" fontId="7" fillId="0" borderId="0" xfId="1" applyNumberFormat="1" applyFont="1" applyFill="1" applyBorder="1" applyAlignment="1">
      <alignment horizontal="right" vertical="center"/>
    </xf>
    <xf numFmtId="164" fontId="5" fillId="0" borderId="0" xfId="1" applyFont="1" applyFill="1" applyAlignment="1">
      <alignment wrapText="1"/>
    </xf>
    <xf numFmtId="0" fontId="0" fillId="0" borderId="0" xfId="0" applyAlignment="1">
      <alignment horizontal="left" vertical="center" wrapText="1"/>
    </xf>
    <xf numFmtId="165" fontId="8" fillId="3" borderId="0" xfId="1" applyNumberFormat="1" applyFont="1" applyFill="1" applyAlignment="1">
      <alignment horizontal="left" vertical="center"/>
    </xf>
    <xf numFmtId="164" fontId="18" fillId="3" borderId="0" xfId="1" applyFont="1" applyFill="1" applyAlignment="1">
      <alignment vertical="center"/>
    </xf>
    <xf numFmtId="164" fontId="8" fillId="4" borderId="1" xfId="1" applyFont="1" applyFill="1" applyBorder="1" applyAlignment="1">
      <alignment horizontal="center" vertical="center" wrapText="1"/>
    </xf>
    <xf numFmtId="164" fontId="8" fillId="4" borderId="1" xfId="1" applyFont="1" applyFill="1" applyBorder="1" applyAlignment="1">
      <alignment horizontal="center" vertical="center"/>
    </xf>
    <xf numFmtId="169" fontId="8" fillId="4" borderId="1" xfId="1" applyNumberFormat="1" applyFont="1" applyFill="1" applyBorder="1" applyAlignment="1">
      <alignment horizontal="center" vertical="center" wrapText="1"/>
    </xf>
    <xf numFmtId="164" fontId="17" fillId="0" borderId="0" xfId="1" applyFont="1" applyFill="1" applyBorder="1" applyAlignment="1">
      <alignment horizontal="right" vertical="center" wrapText="1"/>
    </xf>
    <xf numFmtId="164" fontId="7" fillId="5" borderId="2" xfId="1" applyFont="1" applyFill="1" applyBorder="1" applyAlignment="1">
      <alignment horizontal="right" vertical="center"/>
    </xf>
    <xf numFmtId="164" fontId="7" fillId="5" borderId="3" xfId="1" applyFont="1" applyFill="1" applyBorder="1" applyAlignment="1">
      <alignment horizontal="left" vertical="center"/>
    </xf>
    <xf numFmtId="164" fontId="9" fillId="5" borderId="3" xfId="1" applyFont="1" applyFill="1" applyBorder="1" applyAlignment="1">
      <alignment horizontal="center" vertical="center" wrapText="1"/>
    </xf>
    <xf numFmtId="164" fontId="9" fillId="5" borderId="3" xfId="1" applyFont="1" applyFill="1" applyBorder="1" applyAlignment="1">
      <alignment horizontal="center" vertical="center"/>
    </xf>
    <xf numFmtId="0" fontId="9" fillId="5" borderId="3" xfId="1" applyNumberFormat="1" applyFont="1" applyFill="1" applyBorder="1" applyAlignment="1">
      <alignment horizontal="center" vertical="center" wrapText="1"/>
    </xf>
    <xf numFmtId="0" fontId="15" fillId="5" borderId="3" xfId="0" applyFont="1" applyFill="1" applyBorder="1" applyAlignment="1" applyProtection="1">
      <alignment vertical="center" wrapText="1"/>
      <protection locked="0"/>
    </xf>
    <xf numFmtId="170" fontId="7" fillId="5" borderId="3" xfId="1" applyNumberFormat="1" applyFont="1" applyFill="1" applyBorder="1" applyAlignment="1">
      <alignment horizontal="right" vertical="center"/>
    </xf>
    <xf numFmtId="170" fontId="7" fillId="5" borderId="4" xfId="1" applyNumberFormat="1" applyFont="1" applyFill="1" applyBorder="1" applyAlignment="1">
      <alignment horizontal="right" vertical="center"/>
    </xf>
    <xf numFmtId="168" fontId="7" fillId="5" borderId="3" xfId="1" applyNumberFormat="1" applyFont="1" applyFill="1" applyBorder="1" applyAlignment="1">
      <alignment horizontal="right" vertical="center"/>
    </xf>
    <xf numFmtId="0" fontId="0" fillId="5" borderId="0" xfId="0" applyFill="1" applyAlignment="1">
      <alignment horizontal="left" vertical="center" wrapText="1"/>
    </xf>
    <xf numFmtId="164" fontId="9" fillId="5" borderId="0" xfId="1" applyFont="1" applyFill="1" applyBorder="1" applyAlignment="1">
      <alignment horizontal="left" vertical="top"/>
    </xf>
    <xf numFmtId="164" fontId="10" fillId="5" borderId="0" xfId="1" applyFont="1" applyFill="1" applyBorder="1" applyAlignment="1">
      <alignment horizontal="left" vertical="center" wrapText="1"/>
    </xf>
    <xf numFmtId="167" fontId="7" fillId="5" borderId="0" xfId="1" applyNumberFormat="1" applyFont="1" applyFill="1" applyBorder="1" applyAlignment="1">
      <alignment vertical="top"/>
    </xf>
    <xf numFmtId="169" fontId="7" fillId="5" borderId="0" xfId="1" applyNumberFormat="1" applyFont="1" applyFill="1" applyBorder="1" applyAlignment="1">
      <alignment vertical="top"/>
    </xf>
    <xf numFmtId="0" fontId="20" fillId="5" borderId="0" xfId="0" applyFont="1" applyFill="1" applyAlignment="1">
      <alignment vertical="center" wrapText="1"/>
    </xf>
    <xf numFmtId="169" fontId="8" fillId="5" borderId="0" xfId="1" applyNumberFormat="1" applyFont="1" applyFill="1" applyBorder="1" applyAlignment="1">
      <alignment vertical="center"/>
    </xf>
    <xf numFmtId="40" fontId="8" fillId="5" borderId="0" xfId="1" applyNumberFormat="1" applyFont="1" applyFill="1" applyBorder="1" applyAlignment="1">
      <alignment horizontal="right" vertical="center"/>
    </xf>
    <xf numFmtId="169" fontId="7" fillId="5" borderId="0" xfId="1" applyNumberFormat="1" applyFont="1" applyFill="1" applyBorder="1" applyAlignment="1">
      <alignment horizontal="center" vertical="center"/>
    </xf>
    <xf numFmtId="40" fontId="7" fillId="5" borderId="0" xfId="1" applyNumberFormat="1" applyFont="1" applyFill="1" applyBorder="1" applyAlignment="1">
      <alignment horizontal="right" vertical="center"/>
    </xf>
    <xf numFmtId="164" fontId="11" fillId="5" borderId="0" xfId="1" applyFont="1" applyFill="1" applyBorder="1" applyAlignment="1">
      <alignment horizontal="right" vertical="center" wrapText="1"/>
    </xf>
    <xf numFmtId="169" fontId="8" fillId="5" borderId="0" xfId="1" applyNumberFormat="1" applyFont="1" applyFill="1" applyBorder="1" applyAlignment="1">
      <alignment horizontal="left" vertical="center"/>
    </xf>
    <xf numFmtId="40" fontId="7" fillId="5" borderId="5" xfId="1" applyNumberFormat="1" applyFont="1" applyFill="1" applyBorder="1" applyAlignment="1">
      <alignment horizontal="right" vertical="center"/>
    </xf>
    <xf numFmtId="164" fontId="8" fillId="4" borderId="1" xfId="1" applyFont="1" applyFill="1" applyBorder="1" applyAlignment="1">
      <alignment horizontal="center" vertical="center" wrapText="1"/>
    </xf>
    <xf numFmtId="164" fontId="12" fillId="0" borderId="0" xfId="1" applyFont="1" applyFill="1" applyAlignment="1">
      <alignment horizontal="center" vertical="center"/>
    </xf>
    <xf numFmtId="164" fontId="17" fillId="0" borderId="0" xfId="1" applyFont="1" applyFill="1" applyBorder="1" applyAlignment="1">
      <alignment horizontal="left" vertical="center" wrapText="1"/>
    </xf>
    <xf numFmtId="164" fontId="19" fillId="2" borderId="0" xfId="1" applyFont="1" applyFill="1" applyBorder="1" applyAlignment="1">
      <alignment horizontal="center" vertical="center"/>
    </xf>
    <xf numFmtId="164" fontId="9" fillId="5" borderId="0" xfId="1" applyFont="1" applyFill="1" applyAlignment="1">
      <alignment horizontal="right" vertical="center" wrapText="1"/>
    </xf>
    <xf numFmtId="164" fontId="5" fillId="0" borderId="0" xfId="1" applyFont="1" applyFill="1" applyAlignment="1">
      <alignment horizontal="center" vertical="center" wrapText="1"/>
    </xf>
    <xf numFmtId="164" fontId="9" fillId="0" borderId="0" xfId="1" applyFont="1" applyFill="1" applyAlignment="1">
      <alignment horizontal="right" vertical="center" wrapText="1"/>
    </xf>
    <xf numFmtId="164" fontId="12" fillId="5" borderId="0" xfId="1" applyFont="1" applyFill="1" applyBorder="1" applyAlignment="1">
      <alignment horizontal="right" vertical="center" wrapText="1"/>
    </xf>
    <xf numFmtId="164" fontId="13" fillId="5" borderId="5" xfId="1" applyFont="1" applyFill="1" applyBorder="1" applyAlignment="1">
      <alignment horizontal="right" vertical="center" wrapText="1"/>
    </xf>
    <xf numFmtId="164" fontId="13" fillId="5" borderId="0" xfId="1" applyFont="1" applyFill="1" applyBorder="1" applyAlignment="1">
      <alignment horizontal="right" vertical="center" wrapText="1"/>
    </xf>
    <xf numFmtId="0" fontId="20" fillId="5" borderId="0" xfId="0" applyFont="1" applyFill="1" applyAlignment="1">
      <alignment horizontal="center" vertical="center" wrapText="1"/>
    </xf>
    <xf numFmtId="164" fontId="22" fillId="0" borderId="0" xfId="1" applyFont="1" applyFill="1" applyBorder="1" applyAlignment="1">
      <alignment horizontal="left" vertical="center" wrapText="1"/>
    </xf>
  </cellXfs>
  <cellStyles count="9">
    <cellStyle name="Excel Built-in Normal" xfId="1"/>
    <cellStyle name="Graphics" xfId="2"/>
    <cellStyle name="Heading" xfId="3"/>
    <cellStyle name="Heading1" xfId="4"/>
    <cellStyle name="Normal" xfId="0" builtinId="0" customBuiltin="1"/>
    <cellStyle name="Normal 2" xfId="8"/>
    <cellStyle name="Normal 7" xfId="7"/>
    <cellStyle name="Result" xfId="5"/>
    <cellStyle name="Result2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5</xdr:col>
      <xdr:colOff>61790</xdr:colOff>
      <xdr:row>1</xdr:row>
      <xdr:rowOff>504825</xdr:rowOff>
    </xdr:to>
    <xdr:pic>
      <xdr:nvPicPr>
        <xdr:cNvPr id="6" name="5 Resim" descr="akdağ 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104775"/>
          <a:ext cx="2557340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MI40"/>
  <sheetViews>
    <sheetView tabSelected="1" workbookViewId="0">
      <selection activeCell="F12" sqref="F12"/>
    </sheetView>
  </sheetViews>
  <sheetFormatPr defaultRowHeight="15"/>
  <cols>
    <col min="1" max="1" width="2.875" customWidth="1"/>
    <col min="2" max="2" width="5" customWidth="1"/>
    <col min="3" max="3" width="9" style="1" customWidth="1"/>
    <col min="4" max="4" width="9.75" style="1" customWidth="1"/>
    <col min="5" max="5" width="8" style="1" bestFit="1" customWidth="1"/>
    <col min="6" max="6" width="31.25" style="1" customWidth="1"/>
    <col min="7" max="7" width="8" style="1" bestFit="1" customWidth="1"/>
    <col min="8" max="8" width="9" style="1" bestFit="1" customWidth="1"/>
    <col min="9" max="9" width="9.875" style="6" bestFit="1" customWidth="1"/>
    <col min="10" max="1023" width="8.125" style="1" customWidth="1"/>
    <col min="1024" max="1024" width="8.125" customWidth="1"/>
    <col min="1025" max="1025" width="9" customWidth="1"/>
  </cols>
  <sheetData>
    <row r="2" spans="1:1023" ht="43.5" customHeight="1">
      <c r="G2" s="13"/>
    </row>
    <row r="3" spans="1:1023" ht="18.75" customHeight="1">
      <c r="A3" s="1" t="s">
        <v>4</v>
      </c>
      <c r="G3" s="48" t="s">
        <v>0</v>
      </c>
      <c r="H3" s="48"/>
      <c r="I3" s="48"/>
    </row>
    <row r="4" spans="1:1023">
      <c r="A4" s="1" t="s">
        <v>5</v>
      </c>
    </row>
    <row r="6" spans="1:1023">
      <c r="A6" s="44" t="s">
        <v>1</v>
      </c>
      <c r="B6" s="44"/>
      <c r="C6" s="16" t="s">
        <v>44</v>
      </c>
      <c r="D6" s="16"/>
      <c r="E6" s="16"/>
      <c r="F6" s="16"/>
      <c r="G6" s="49" t="s">
        <v>3</v>
      </c>
      <c r="H6" s="49"/>
      <c r="I6" s="15">
        <v>46153</v>
      </c>
    </row>
    <row r="7" spans="1:1023">
      <c r="C7" s="4"/>
      <c r="D7" s="4"/>
      <c r="E7" s="4"/>
      <c r="F7" s="5"/>
      <c r="G7" s="7"/>
      <c r="H7" s="7"/>
      <c r="I7" s="2"/>
    </row>
    <row r="8" spans="1:1023" ht="22.5" customHeight="1">
      <c r="A8" s="43" t="s">
        <v>7</v>
      </c>
      <c r="B8" s="43"/>
      <c r="C8" s="17" t="s">
        <v>8</v>
      </c>
      <c r="D8" s="17" t="s">
        <v>11</v>
      </c>
      <c r="E8" s="17" t="s">
        <v>9</v>
      </c>
      <c r="F8" s="18" t="s">
        <v>10</v>
      </c>
      <c r="G8" s="17" t="s">
        <v>33</v>
      </c>
      <c r="H8" s="17" t="s">
        <v>34</v>
      </c>
      <c r="I8" s="19" t="s">
        <v>35</v>
      </c>
    </row>
    <row r="9" spans="1:1023" ht="44.25" customHeight="1">
      <c r="A9" s="21">
        <v>1</v>
      </c>
      <c r="B9" s="22" t="s">
        <v>6</v>
      </c>
      <c r="C9" s="23" t="s">
        <v>46</v>
      </c>
      <c r="D9" s="24"/>
      <c r="E9" s="25" t="s">
        <v>47</v>
      </c>
      <c r="F9" s="26" t="s">
        <v>45</v>
      </c>
      <c r="G9" s="29">
        <v>235</v>
      </c>
      <c r="H9" s="27">
        <f>G9*$C$26</f>
        <v>10692.5</v>
      </c>
      <c r="I9" s="28">
        <f t="shared" ref="I9" si="0">H9*A9</f>
        <v>10692.5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</row>
    <row r="10" spans="1:1023" ht="44.25" customHeight="1">
      <c r="A10" s="21"/>
      <c r="B10" s="22"/>
      <c r="C10" s="23"/>
      <c r="D10" s="24"/>
      <c r="E10" s="25"/>
      <c r="F10" s="26"/>
      <c r="G10" s="29"/>
      <c r="H10" s="27"/>
      <c r="I10" s="2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</row>
    <row r="11" spans="1:1023" ht="44.25" customHeight="1">
      <c r="A11" s="21"/>
      <c r="B11" s="22"/>
      <c r="C11" s="23"/>
      <c r="D11" s="24"/>
      <c r="E11" s="25"/>
      <c r="F11" s="26"/>
      <c r="G11" s="29"/>
      <c r="H11" s="27"/>
      <c r="I11" s="2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</row>
    <row r="12" spans="1:1023" ht="44.25" customHeight="1">
      <c r="A12" s="21"/>
      <c r="B12" s="22"/>
      <c r="C12" s="23"/>
      <c r="D12" s="24"/>
      <c r="E12" s="25"/>
      <c r="F12" s="26"/>
      <c r="G12" s="29"/>
      <c r="H12" s="27"/>
      <c r="I12" s="28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</row>
    <row r="13" spans="1:1023" ht="44.25" customHeight="1">
      <c r="A13" s="21"/>
      <c r="B13" s="22"/>
      <c r="C13" s="23"/>
      <c r="D13" s="24"/>
      <c r="E13" s="25"/>
      <c r="F13" s="26"/>
      <c r="G13" s="29"/>
      <c r="H13" s="27"/>
      <c r="I13" s="2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</row>
    <row r="14" spans="1:1023" ht="44.25" customHeight="1">
      <c r="A14" s="21"/>
      <c r="B14" s="22"/>
      <c r="C14" s="23"/>
      <c r="D14" s="24"/>
      <c r="E14" s="25"/>
      <c r="F14" s="26"/>
      <c r="G14" s="29"/>
      <c r="H14" s="27"/>
      <c r="I14" s="2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</row>
    <row r="15" spans="1:1023" ht="44.25" customHeight="1">
      <c r="A15" s="21"/>
      <c r="B15" s="22"/>
      <c r="C15" s="23"/>
      <c r="D15" s="24"/>
      <c r="E15" s="25"/>
      <c r="F15" s="26"/>
      <c r="G15" s="29"/>
      <c r="H15" s="27"/>
      <c r="I15" s="2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</row>
    <row r="16" spans="1:1023" ht="44.25" customHeight="1">
      <c r="A16" s="21"/>
      <c r="B16" s="22"/>
      <c r="C16" s="23"/>
      <c r="D16" s="24"/>
      <c r="E16" s="25"/>
      <c r="F16" s="26"/>
      <c r="G16" s="29"/>
      <c r="H16" s="27"/>
      <c r="I16" s="2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</row>
    <row r="17" spans="1:1023" ht="44.25" customHeight="1">
      <c r="A17" s="21"/>
      <c r="B17" s="22"/>
      <c r="C17" s="23"/>
      <c r="D17" s="24"/>
      <c r="E17" s="25"/>
      <c r="F17" s="26"/>
      <c r="G17" s="29"/>
      <c r="H17" s="27"/>
      <c r="I17" s="2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</row>
    <row r="18" spans="1:1023" ht="44.25" customHeight="1">
      <c r="A18" s="21"/>
      <c r="B18" s="22"/>
      <c r="C18" s="23"/>
      <c r="D18" s="24"/>
      <c r="E18" s="25"/>
      <c r="F18" s="26"/>
      <c r="G18" s="29"/>
      <c r="H18" s="27"/>
      <c r="I18" s="2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</row>
    <row r="19" spans="1:1023" ht="44.25" customHeight="1">
      <c r="A19" s="21"/>
      <c r="B19" s="22"/>
      <c r="C19" s="23"/>
      <c r="D19" s="24"/>
      <c r="E19" s="25"/>
      <c r="F19" s="26"/>
      <c r="G19" s="29"/>
      <c r="H19" s="27"/>
      <c r="I19" s="2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</row>
    <row r="20" spans="1:1023" ht="44.25" customHeight="1">
      <c r="A20" s="21"/>
      <c r="B20" s="22"/>
      <c r="C20" s="23"/>
      <c r="D20" s="24"/>
      <c r="E20" s="25"/>
      <c r="F20" s="26"/>
      <c r="G20" s="29"/>
      <c r="H20" s="27"/>
      <c r="I20" s="2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</row>
    <row r="21" spans="1:1023" ht="44.25" customHeight="1">
      <c r="A21" s="21"/>
      <c r="B21" s="22"/>
      <c r="C21" s="23"/>
      <c r="D21" s="24"/>
      <c r="E21" s="25"/>
      <c r="F21" s="26"/>
      <c r="G21" s="29"/>
      <c r="H21" s="27"/>
      <c r="I21" s="2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</row>
    <row r="22" spans="1:1023" ht="43.5" customHeight="1">
      <c r="A22" s="21"/>
      <c r="B22" s="22"/>
      <c r="C22" s="23"/>
      <c r="D22" s="24"/>
      <c r="E22" s="25"/>
      <c r="F22" s="26"/>
      <c r="G22" s="29"/>
      <c r="H22" s="27">
        <f>G22*$C$26</f>
        <v>0</v>
      </c>
      <c r="I22" s="28">
        <f t="shared" ref="I22" si="1">H22*A22</f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</row>
    <row r="23" spans="1:1023" s="14" customFormat="1" ht="6.75" customHeight="1">
      <c r="A23" s="30"/>
      <c r="B23" s="30"/>
      <c r="C23" s="31"/>
      <c r="D23" s="31"/>
      <c r="E23" s="31"/>
      <c r="F23" s="32"/>
      <c r="G23" s="33"/>
      <c r="H23" s="33"/>
      <c r="I23" s="3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</row>
    <row r="24" spans="1:1023" s="14" customFormat="1" ht="15" customHeight="1">
      <c r="A24" s="53" t="s">
        <v>38</v>
      </c>
      <c r="B24" s="53"/>
      <c r="C24" s="53"/>
      <c r="D24" s="35"/>
      <c r="E24" s="30"/>
      <c r="F24" s="36"/>
      <c r="G24" s="50" t="s">
        <v>36</v>
      </c>
      <c r="H24" s="50"/>
      <c r="I24" s="37">
        <f>SUM(I9:I23)</f>
        <v>10692.5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</row>
    <row r="25" spans="1:1023" s="14" customFormat="1">
      <c r="A25" s="47" t="s">
        <v>39</v>
      </c>
      <c r="B25" s="47"/>
      <c r="C25" s="38">
        <v>53.5</v>
      </c>
      <c r="D25" s="30"/>
      <c r="E25" s="36"/>
      <c r="F25" s="36"/>
      <c r="G25" s="51" t="s">
        <v>37</v>
      </c>
      <c r="H25" s="51"/>
      <c r="I25" s="42">
        <f>I24*20/100</f>
        <v>2138.5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</row>
    <row r="26" spans="1:1023" s="14" customFormat="1">
      <c r="A26" s="47" t="s">
        <v>40</v>
      </c>
      <c r="B26" s="47"/>
      <c r="C26" s="38">
        <v>45.5</v>
      </c>
      <c r="D26" s="40"/>
      <c r="E26" s="40"/>
      <c r="F26" s="41"/>
      <c r="G26" s="52" t="s">
        <v>36</v>
      </c>
      <c r="H26" s="52"/>
      <c r="I26" s="39">
        <f>I24+I25</f>
        <v>12831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</row>
    <row r="27" spans="1:1023" s="14" customFormat="1">
      <c r="C27" s="8"/>
      <c r="D27" s="8"/>
      <c r="E27" s="8"/>
      <c r="F27" s="9"/>
      <c r="G27" s="10"/>
      <c r="H27" s="11"/>
      <c r="I27" s="1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</row>
    <row r="28" spans="1:1023" s="14" customFormat="1">
      <c r="A28" s="46" t="s">
        <v>2</v>
      </c>
      <c r="B28" s="46"/>
      <c r="C28" s="46"/>
      <c r="D28" s="46"/>
      <c r="E28" s="46"/>
      <c r="F28" s="46"/>
      <c r="G28" s="46"/>
      <c r="H28" s="46"/>
      <c r="I28" s="4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</row>
    <row r="29" spans="1:1023" s="14" customFormat="1" ht="15" customHeight="1">
      <c r="A29" s="20" t="s">
        <v>12</v>
      </c>
      <c r="B29" s="45" t="s">
        <v>28</v>
      </c>
      <c r="C29" s="45"/>
      <c r="D29" s="45"/>
      <c r="E29" s="45"/>
      <c r="F29" s="45"/>
      <c r="G29" s="45"/>
      <c r="H29" s="45"/>
      <c r="I29" s="4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</row>
    <row r="30" spans="1:1023" ht="15" customHeight="1">
      <c r="A30" s="20" t="s">
        <v>13</v>
      </c>
      <c r="B30" s="45" t="s">
        <v>23</v>
      </c>
      <c r="C30" s="45"/>
      <c r="D30" s="45"/>
      <c r="E30" s="45"/>
      <c r="F30" s="45"/>
      <c r="G30" s="45"/>
      <c r="H30" s="45"/>
      <c r="I30" s="45"/>
    </row>
    <row r="31" spans="1:1023" ht="26.25" customHeight="1">
      <c r="A31" s="20" t="s">
        <v>14</v>
      </c>
      <c r="B31" s="54" t="s">
        <v>43</v>
      </c>
      <c r="C31" s="45"/>
      <c r="D31" s="45"/>
      <c r="E31" s="45"/>
      <c r="F31" s="45"/>
      <c r="G31" s="45"/>
      <c r="H31" s="45"/>
      <c r="I31" s="45"/>
    </row>
    <row r="32" spans="1:1023" ht="15" customHeight="1">
      <c r="A32" s="20" t="s">
        <v>41</v>
      </c>
      <c r="B32" s="45" t="s">
        <v>42</v>
      </c>
      <c r="C32" s="45"/>
      <c r="D32" s="45"/>
      <c r="E32" s="45"/>
      <c r="F32" s="45"/>
      <c r="G32" s="45"/>
      <c r="H32" s="45"/>
      <c r="I32" s="45"/>
    </row>
    <row r="33" spans="1:9" ht="15" customHeight="1">
      <c r="A33" s="20" t="s">
        <v>15</v>
      </c>
      <c r="B33" s="45" t="s">
        <v>24</v>
      </c>
      <c r="C33" s="45"/>
      <c r="D33" s="45"/>
      <c r="E33" s="45"/>
      <c r="F33" s="45"/>
      <c r="G33" s="45"/>
      <c r="H33" s="45"/>
      <c r="I33" s="45"/>
    </row>
    <row r="34" spans="1:9" ht="15" customHeight="1">
      <c r="A34" s="20" t="s">
        <v>16</v>
      </c>
      <c r="B34" s="45" t="s">
        <v>32</v>
      </c>
      <c r="C34" s="45"/>
      <c r="D34" s="45"/>
      <c r="E34" s="45"/>
      <c r="F34" s="45"/>
      <c r="G34" s="45"/>
      <c r="H34" s="45"/>
      <c r="I34" s="45"/>
    </row>
    <row r="35" spans="1:9" ht="15" customHeight="1">
      <c r="A35" s="20" t="s">
        <v>17</v>
      </c>
      <c r="B35" s="45" t="s">
        <v>25</v>
      </c>
      <c r="C35" s="45"/>
      <c r="D35" s="45"/>
      <c r="E35" s="45"/>
      <c r="F35" s="45"/>
      <c r="G35" s="45"/>
      <c r="H35" s="45"/>
      <c r="I35" s="45"/>
    </row>
    <row r="36" spans="1:9" ht="15" customHeight="1">
      <c r="A36" s="20" t="s">
        <v>18</v>
      </c>
      <c r="B36" s="45" t="s">
        <v>26</v>
      </c>
      <c r="C36" s="45"/>
      <c r="D36" s="45"/>
      <c r="E36" s="45"/>
      <c r="F36" s="45"/>
      <c r="G36" s="45"/>
      <c r="H36" s="45"/>
      <c r="I36" s="45"/>
    </row>
    <row r="37" spans="1:9" ht="22.5" customHeight="1">
      <c r="A37" s="20" t="s">
        <v>19</v>
      </c>
      <c r="B37" s="45" t="s">
        <v>31</v>
      </c>
      <c r="C37" s="45"/>
      <c r="D37" s="45"/>
      <c r="E37" s="45"/>
      <c r="F37" s="45"/>
      <c r="G37" s="45"/>
      <c r="H37" s="45"/>
      <c r="I37" s="45"/>
    </row>
    <row r="38" spans="1:9">
      <c r="A38" s="20" t="s">
        <v>20</v>
      </c>
      <c r="B38" s="45" t="s">
        <v>30</v>
      </c>
      <c r="C38" s="45"/>
      <c r="D38" s="45"/>
      <c r="E38" s="45"/>
      <c r="F38" s="45"/>
      <c r="G38" s="45"/>
      <c r="H38" s="45"/>
      <c r="I38" s="45"/>
    </row>
    <row r="39" spans="1:9">
      <c r="A39" s="20" t="s">
        <v>21</v>
      </c>
      <c r="B39" s="45" t="s">
        <v>27</v>
      </c>
      <c r="C39" s="45"/>
      <c r="D39" s="45"/>
      <c r="E39" s="45"/>
      <c r="F39" s="45"/>
      <c r="G39" s="45"/>
      <c r="H39" s="45"/>
      <c r="I39" s="45"/>
    </row>
    <row r="40" spans="1:9">
      <c r="A40" s="20" t="s">
        <v>22</v>
      </c>
      <c r="B40" s="45" t="s">
        <v>29</v>
      </c>
      <c r="C40" s="45"/>
      <c r="D40" s="45"/>
      <c r="E40" s="45"/>
      <c r="F40" s="45"/>
      <c r="G40" s="45"/>
      <c r="H40" s="45"/>
      <c r="I40" s="45"/>
    </row>
  </sheetData>
  <mergeCells count="23">
    <mergeCell ref="B35:I35"/>
    <mergeCell ref="A25:B25"/>
    <mergeCell ref="G3:I3"/>
    <mergeCell ref="G6:H6"/>
    <mergeCell ref="B40:I40"/>
    <mergeCell ref="G24:H24"/>
    <mergeCell ref="G25:H25"/>
    <mergeCell ref="G26:H26"/>
    <mergeCell ref="A26:B26"/>
    <mergeCell ref="A24:C24"/>
    <mergeCell ref="B36:I36"/>
    <mergeCell ref="B37:I37"/>
    <mergeCell ref="B38:I38"/>
    <mergeCell ref="B39:I39"/>
    <mergeCell ref="B31:I31"/>
    <mergeCell ref="B33:I33"/>
    <mergeCell ref="A8:B8"/>
    <mergeCell ref="A6:B6"/>
    <mergeCell ref="B30:I30"/>
    <mergeCell ref="B34:I34"/>
    <mergeCell ref="B32:I32"/>
    <mergeCell ref="A28:I28"/>
    <mergeCell ref="B29:I29"/>
  </mergeCells>
  <pageMargins left="0.17007874015748004" right="0.17" top="0.42" bottom="0.42" header="0.34015748031496107" footer="0.3700787401574801"/>
  <pageSetup paperSize="9" fitToWidth="0" fitToHeight="0" orientation="portrait" verticalDpi="7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"/>
  <sheetViews>
    <sheetView workbookViewId="0"/>
  </sheetViews>
  <sheetFormatPr defaultRowHeight="15"/>
  <cols>
    <col min="1" max="1024" width="8.125" style="1" customWidth="1"/>
    <col min="1025" max="1025" width="9" customWidth="1"/>
  </cols>
  <sheetData/>
  <pageMargins left="0.70000000000000007" right="0.70000000000000007" top="1.1437007874015752" bottom="1.1437007874015752" header="0.75000000000000011" footer="0.75000000000000011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J1"/>
  <sheetViews>
    <sheetView workbookViewId="0"/>
  </sheetViews>
  <sheetFormatPr defaultRowHeight="15"/>
  <cols>
    <col min="1" max="1024" width="8.125" style="1" customWidth="1"/>
    <col min="1025" max="1025" width="9" customWidth="1"/>
  </cols>
  <sheetData/>
  <pageMargins left="0.70000000000000007" right="0.70000000000000007" top="1.1437007874015752" bottom="1.1437007874015752" header="0.75000000000000011" footer="0.75000000000000011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1054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akdag elektronik</dc:creator>
  <cp:lastModifiedBy>AKDAG LTD</cp:lastModifiedBy>
  <cp:revision>109</cp:revision>
  <cp:lastPrinted>2026-05-02T12:05:00Z</cp:lastPrinted>
  <dcterms:created xsi:type="dcterms:W3CDTF">2017-02-23T10:33:32Z</dcterms:created>
  <dcterms:modified xsi:type="dcterms:W3CDTF">2026-05-11T13:46:42Z</dcterms:modified>
</cp:coreProperties>
</file>